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  <sheet xmlns:r="http://schemas.openxmlformats.org/officeDocument/2006/relationships" name="集計" sheetId="2" state="visible" r:id="rId2"/>
    <sheet xmlns:r="http://schemas.openxmlformats.org/officeDocument/2006/relationships" name="前提・質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番号</t>
        </is>
      </c>
      <c r="B1" t="inlineStr">
        <is>
          <t>種類</t>
        </is>
      </c>
      <c r="C1" t="inlineStr">
        <is>
          <t>場所</t>
        </is>
      </c>
      <c r="D1" t="inlineStr">
        <is>
          <t>図面のページ</t>
        </is>
      </c>
      <c r="E1" t="inlineStr">
        <is>
          <t>数</t>
        </is>
      </c>
    </row>
    <row r="2">
      <c r="A2" t="inlineStr">
        <is>
          <t>F1</t>
        </is>
      </c>
      <c r="B2" t="inlineStr">
        <is>
          <t>照明</t>
        </is>
      </c>
      <c r="C2" t="inlineStr">
        <is>
          <t>事務室1</t>
        </is>
      </c>
      <c r="D2" t="inlineStr">
        <is>
          <t>SAMPLE-01 (p1)</t>
        </is>
      </c>
      <c r="E2" t="n">
        <v>1</v>
      </c>
    </row>
    <row r="3">
      <c r="A3" t="inlineStr">
        <is>
          <t>F2</t>
        </is>
      </c>
      <c r="B3" t="inlineStr">
        <is>
          <t>照明</t>
        </is>
      </c>
      <c r="C3" t="inlineStr">
        <is>
          <t>事務室1</t>
        </is>
      </c>
      <c r="D3" t="inlineStr">
        <is>
          <t>SAMPLE-01 (p1)</t>
        </is>
      </c>
      <c r="E3" t="n">
        <v>1</v>
      </c>
    </row>
    <row r="4">
      <c r="A4" t="inlineStr">
        <is>
          <t>C1</t>
        </is>
      </c>
      <c r="B4" t="inlineStr">
        <is>
          <t>コンセント</t>
        </is>
      </c>
      <c r="C4" t="inlineStr">
        <is>
          <t>事務室1</t>
        </is>
      </c>
      <c r="D4" t="inlineStr">
        <is>
          <t>SAMPLE-01 (p1)</t>
        </is>
      </c>
      <c r="E4" t="n">
        <v>1</v>
      </c>
    </row>
    <row r="5">
      <c r="A5" t="inlineStr">
        <is>
          <t>C2</t>
        </is>
      </c>
      <c r="B5" t="inlineStr">
        <is>
          <t>コンセント</t>
        </is>
      </c>
      <c r="C5" t="inlineStr">
        <is>
          <t>事務室1</t>
        </is>
      </c>
      <c r="D5" t="inlineStr">
        <is>
          <t>SAMPLE-01 (p1)</t>
        </is>
      </c>
      <c r="E5" t="n">
        <v>1</v>
      </c>
    </row>
    <row r="6">
      <c r="A6" t="inlineStr">
        <is>
          <t>S1</t>
        </is>
      </c>
      <c r="B6" t="inlineStr">
        <is>
          <t>スイッチ</t>
        </is>
      </c>
      <c r="C6" t="inlineStr">
        <is>
          <t>事務室1</t>
        </is>
      </c>
      <c r="D6" t="inlineStr">
        <is>
          <t>SAMPLE-01 (p1)</t>
        </is>
      </c>
      <c r="E6" t="n">
        <v>1</v>
      </c>
    </row>
    <row r="7">
      <c r="A7" t="inlineStr">
        <is>
          <t>F3</t>
        </is>
      </c>
      <c r="B7" t="inlineStr">
        <is>
          <t>照明</t>
        </is>
      </c>
      <c r="C7" t="inlineStr">
        <is>
          <t>事務室2</t>
        </is>
      </c>
      <c r="D7" t="inlineStr">
        <is>
          <t>SAMPLE-01 (p1)</t>
        </is>
      </c>
      <c r="E7" t="n">
        <v>1</v>
      </c>
    </row>
    <row r="8">
      <c r="A8" t="inlineStr">
        <is>
          <t>F4</t>
        </is>
      </c>
      <c r="B8" t="inlineStr">
        <is>
          <t>照明</t>
        </is>
      </c>
      <c r="C8" t="inlineStr">
        <is>
          <t>事務室2</t>
        </is>
      </c>
      <c r="D8" t="inlineStr">
        <is>
          <t>SAMPLE-01 (p1)</t>
        </is>
      </c>
      <c r="E8" t="n">
        <v>1</v>
      </c>
    </row>
    <row r="9">
      <c r="A9" t="inlineStr">
        <is>
          <t>C3</t>
        </is>
      </c>
      <c r="B9" t="inlineStr">
        <is>
          <t>コンセント</t>
        </is>
      </c>
      <c r="C9" t="inlineStr">
        <is>
          <t>事務室2</t>
        </is>
      </c>
      <c r="D9" t="inlineStr">
        <is>
          <t>SAMPLE-01 (p1)</t>
        </is>
      </c>
      <c r="E9" t="n">
        <v>1</v>
      </c>
    </row>
    <row r="10">
      <c r="A10" t="inlineStr">
        <is>
          <t>C4</t>
        </is>
      </c>
      <c r="B10" t="inlineStr">
        <is>
          <t>コンセント</t>
        </is>
      </c>
      <c r="C10" t="inlineStr">
        <is>
          <t>事務室2</t>
        </is>
      </c>
      <c r="D10" t="inlineStr">
        <is>
          <t>SAMPLE-01 (p1)</t>
        </is>
      </c>
      <c r="E10" t="n">
        <v>1</v>
      </c>
    </row>
    <row r="11">
      <c r="A11" t="inlineStr">
        <is>
          <t>C5</t>
        </is>
      </c>
      <c r="B11" t="inlineStr">
        <is>
          <t>コンセント</t>
        </is>
      </c>
      <c r="C11" t="inlineStr">
        <is>
          <t>事務室2</t>
        </is>
      </c>
      <c r="D11" t="inlineStr">
        <is>
          <t>SAMPLE-01 (p1)</t>
        </is>
      </c>
      <c r="E11" t="n">
        <v>1</v>
      </c>
    </row>
    <row r="12">
      <c r="A12" t="inlineStr">
        <is>
          <t>S2</t>
        </is>
      </c>
      <c r="B12" t="inlineStr">
        <is>
          <t>スイッチ</t>
        </is>
      </c>
      <c r="C12" t="inlineStr">
        <is>
          <t>事務室2</t>
        </is>
      </c>
      <c r="D12" t="inlineStr">
        <is>
          <t>SAMPLE-01 (p1)</t>
        </is>
      </c>
      <c r="E12" t="n">
        <v>1</v>
      </c>
    </row>
    <row r="13">
      <c r="A13" t="inlineStr">
        <is>
          <t>F5</t>
        </is>
      </c>
      <c r="B13" t="inlineStr">
        <is>
          <t>照明</t>
        </is>
      </c>
      <c r="C13" t="inlineStr">
        <is>
          <t>会議室</t>
        </is>
      </c>
      <c r="D13" t="inlineStr">
        <is>
          <t>SAMPLE-01 (p1)</t>
        </is>
      </c>
      <c r="E13" t="n">
        <v>1</v>
      </c>
    </row>
    <row r="14">
      <c r="A14" t="inlineStr">
        <is>
          <t>F6</t>
        </is>
      </c>
      <c r="B14" t="inlineStr">
        <is>
          <t>照明</t>
        </is>
      </c>
      <c r="C14" t="inlineStr">
        <is>
          <t>会議室</t>
        </is>
      </c>
      <c r="D14" t="inlineStr">
        <is>
          <t>SAMPLE-01 (p1)</t>
        </is>
      </c>
      <c r="E14" t="n">
        <v>1</v>
      </c>
    </row>
    <row r="15">
      <c r="A15" t="inlineStr">
        <is>
          <t>F7</t>
        </is>
      </c>
      <c r="B15" t="inlineStr">
        <is>
          <t>照明</t>
        </is>
      </c>
      <c r="C15" t="inlineStr">
        <is>
          <t>会議室</t>
        </is>
      </c>
      <c r="D15" t="inlineStr">
        <is>
          <t>SAMPLE-01 (p1)</t>
        </is>
      </c>
      <c r="E15" t="n">
        <v>1</v>
      </c>
    </row>
    <row r="16">
      <c r="A16" t="inlineStr">
        <is>
          <t>C6</t>
        </is>
      </c>
      <c r="B16" t="inlineStr">
        <is>
          <t>コンセント</t>
        </is>
      </c>
      <c r="C16" t="inlineStr">
        <is>
          <t>会議室</t>
        </is>
      </c>
      <c r="D16" t="inlineStr">
        <is>
          <t>SAMPLE-01 (p1)</t>
        </is>
      </c>
      <c r="E16" t="n">
        <v>1</v>
      </c>
    </row>
    <row r="17">
      <c r="A17" t="inlineStr">
        <is>
          <t>C7</t>
        </is>
      </c>
      <c r="B17" t="inlineStr">
        <is>
          <t>コンセント</t>
        </is>
      </c>
      <c r="C17" t="inlineStr">
        <is>
          <t>会議室</t>
        </is>
      </c>
      <c r="D17" t="inlineStr">
        <is>
          <t>SAMPLE-01 (p1)</t>
        </is>
      </c>
      <c r="E17" t="n">
        <v>1</v>
      </c>
    </row>
    <row r="18">
      <c r="A18" t="inlineStr">
        <is>
          <t>C8</t>
        </is>
      </c>
      <c r="B18" t="inlineStr">
        <is>
          <t>コンセント</t>
        </is>
      </c>
      <c r="C18" t="inlineStr">
        <is>
          <t>会議室</t>
        </is>
      </c>
      <c r="D18" t="inlineStr">
        <is>
          <t>SAMPLE-01 (p1)</t>
        </is>
      </c>
      <c r="E18" t="n">
        <v>1</v>
      </c>
    </row>
    <row r="19">
      <c r="A19" t="inlineStr">
        <is>
          <t>S3</t>
        </is>
      </c>
      <c r="B19" t="inlineStr">
        <is>
          <t>スイッチ</t>
        </is>
      </c>
      <c r="C19" t="inlineStr">
        <is>
          <t>会議室</t>
        </is>
      </c>
      <c r="D19" t="inlineStr">
        <is>
          <t>SAMPLE-01 (p1)</t>
        </is>
      </c>
      <c r="E19" t="n">
        <v>1</v>
      </c>
    </row>
    <row r="20">
      <c r="A20" t="inlineStr">
        <is>
          <t>F8</t>
        </is>
      </c>
      <c r="B20" t="inlineStr">
        <is>
          <t>照明</t>
        </is>
      </c>
      <c r="C20" t="inlineStr">
        <is>
          <t>廊下</t>
        </is>
      </c>
      <c r="D20" t="inlineStr">
        <is>
          <t>SAMPLE-01 (p1)</t>
        </is>
      </c>
      <c r="E20" t="n">
        <v>1</v>
      </c>
    </row>
    <row r="21">
      <c r="A21" t="inlineStr">
        <is>
          <t>F9</t>
        </is>
      </c>
      <c r="B21" t="inlineStr">
        <is>
          <t>照明</t>
        </is>
      </c>
      <c r="C21" t="inlineStr">
        <is>
          <t>廊下</t>
        </is>
      </c>
      <c r="D21" t="inlineStr">
        <is>
          <t>SAMPLE-01 (p1)</t>
        </is>
      </c>
      <c r="E21" t="n">
        <v>1</v>
      </c>
    </row>
    <row r="22">
      <c r="A22" t="inlineStr">
        <is>
          <t>P1</t>
        </is>
      </c>
      <c r="B22" t="inlineStr">
        <is>
          <t>分電盤</t>
        </is>
      </c>
      <c r="C22" t="inlineStr">
        <is>
          <t>廊下</t>
        </is>
      </c>
      <c r="D22" t="inlineStr">
        <is>
          <t>SAMPLE-01 (p1)</t>
        </is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種類 ＼ 場所</t>
        </is>
      </c>
      <c r="B1" t="inlineStr">
        <is>
          <t>事務室1</t>
        </is>
      </c>
      <c r="C1" t="inlineStr">
        <is>
          <t>事務室2</t>
        </is>
      </c>
      <c r="D1" t="inlineStr">
        <is>
          <t>会議室</t>
        </is>
      </c>
      <c r="E1" t="inlineStr">
        <is>
          <t>廊下</t>
        </is>
      </c>
      <c r="F1" t="inlineStr">
        <is>
          <t>合計</t>
        </is>
      </c>
      <c r="G1" t="inlineStr">
        <is>
          <t>明細の数</t>
        </is>
      </c>
      <c r="H1" t="inlineStr">
        <is>
          <t>見出しの漏れの確かめ</t>
        </is>
      </c>
    </row>
    <row r="2">
      <c r="A2" t="inlineStr">
        <is>
          <t>照明</t>
        </is>
      </c>
      <c r="B2">
        <f>SUMIFS(明細!$E:$E,明細!$B:$B,$A2,明細!$C:$C,B$1)</f>
        <v/>
      </c>
      <c r="C2">
        <f>SUMIFS(明細!$E:$E,明細!$B:$B,$A2,明細!$C:$C,C$1)</f>
        <v/>
      </c>
      <c r="D2">
        <f>SUMIFS(明細!$E:$E,明細!$B:$B,$A2,明細!$C:$C,D$1)</f>
        <v/>
      </c>
      <c r="E2">
        <f>SUMIFS(明細!$E:$E,明細!$B:$B,$A2,明細!$C:$C,E$1)</f>
        <v/>
      </c>
      <c r="F2">
        <f>SUM(B2:E2)</f>
        <v/>
      </c>
      <c r="G2">
        <f>SUMIF(明細!$B:$B,$A2,明細!$E:$E)</f>
        <v/>
      </c>
      <c r="H2">
        <f>IF(F2=G2,"OK","NG")</f>
        <v/>
      </c>
    </row>
    <row r="3">
      <c r="A3" t="inlineStr">
        <is>
          <t>コンセント</t>
        </is>
      </c>
      <c r="B3">
        <f>SUMIFS(明細!$E:$E,明細!$B:$B,$A3,明細!$C:$C,B$1)</f>
        <v/>
      </c>
      <c r="C3">
        <f>SUMIFS(明細!$E:$E,明細!$B:$B,$A3,明細!$C:$C,C$1)</f>
        <v/>
      </c>
      <c r="D3">
        <f>SUMIFS(明細!$E:$E,明細!$B:$B,$A3,明細!$C:$C,D$1)</f>
        <v/>
      </c>
      <c r="E3">
        <f>SUMIFS(明細!$E:$E,明細!$B:$B,$A3,明細!$C:$C,E$1)</f>
        <v/>
      </c>
      <c r="F3">
        <f>SUM(B3:E3)</f>
        <v/>
      </c>
      <c r="G3">
        <f>SUMIF(明細!$B:$B,$A3,明細!$E:$E)</f>
        <v/>
      </c>
      <c r="H3">
        <f>IF(F3=G3,"OK","NG")</f>
        <v/>
      </c>
    </row>
    <row r="4">
      <c r="A4" t="inlineStr">
        <is>
          <t>スイッチ</t>
        </is>
      </c>
      <c r="B4">
        <f>SUMIFS(明細!$E:$E,明細!$B:$B,$A4,明細!$C:$C,B$1)</f>
        <v/>
      </c>
      <c r="C4">
        <f>SUMIFS(明細!$E:$E,明細!$B:$B,$A4,明細!$C:$C,C$1)</f>
        <v/>
      </c>
      <c r="D4">
        <f>SUMIFS(明細!$E:$E,明細!$B:$B,$A4,明細!$C:$C,D$1)</f>
        <v/>
      </c>
      <c r="E4">
        <f>SUMIFS(明細!$E:$E,明細!$B:$B,$A4,明細!$C:$C,E$1)</f>
        <v/>
      </c>
      <c r="F4">
        <f>SUM(B4:E4)</f>
        <v/>
      </c>
      <c r="G4">
        <f>SUMIF(明細!$B:$B,$A4,明細!$E:$E)</f>
        <v/>
      </c>
      <c r="H4">
        <f>IF(F4=G4,"OK","NG")</f>
        <v/>
      </c>
    </row>
    <row r="5">
      <c r="A5" t="inlineStr">
        <is>
          <t>分電盤</t>
        </is>
      </c>
      <c r="B5">
        <f>SUMIFS(明細!$E:$E,明細!$B:$B,$A5,明細!$C:$C,B$1)</f>
        <v/>
      </c>
      <c r="C5">
        <f>SUMIFS(明細!$E:$E,明細!$B:$B,$A5,明細!$C:$C,C$1)</f>
        <v/>
      </c>
      <c r="D5">
        <f>SUMIFS(明細!$E:$E,明細!$B:$B,$A5,明細!$C:$C,D$1)</f>
        <v/>
      </c>
      <c r="E5">
        <f>SUMIFS(明細!$E:$E,明細!$B:$B,$A5,明細!$C:$C,E$1)</f>
        <v/>
      </c>
      <c r="F5">
        <f>SUM(B5:E5)</f>
        <v/>
      </c>
      <c r="G5">
        <f>SUMIF(明細!$B:$B,$A5,明細!$E:$E)</f>
        <v/>
      </c>
      <c r="H5">
        <f>IF(F5=G5,"OK","NG")</f>
        <v/>
      </c>
    </row>
    <row r="6">
      <c r="A6" t="inlineStr">
        <is>
          <t>合計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</row>
    <row r="8">
      <c r="A8">
        <f>IF(F6=SUM(明細!$E:$E),"明細の数と合っている","明細の数と合わない")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</cols>
  <sheetData>
    <row r="1">
      <c r="A1" t="inlineStr">
        <is>
          <t>#</t>
        </is>
      </c>
      <c r="B1" t="inlineStr">
        <is>
          <t>前提・お客様への質問</t>
        </is>
      </c>
    </row>
    <row r="2">
      <c r="A2" t="n">
        <v>1</v>
      </c>
      <c r="B2" t="inlineStr">
        <is>
          <t>照明器具の型番（カタログ番号）は図面に記載が無いため、個数のみお出ししています。型の指定があればご連絡ください。</t>
        </is>
      </c>
    </row>
    <row r="3">
      <c r="A3" t="n">
        <v>2</v>
      </c>
      <c r="B3" t="inlineStr">
        <is>
          <t>分電盤の回路構成（何回路分か）は、特記仕様書等の指定がないため拾いの対象外としています。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2026-10-05T10:23:20Z</dcterms:created>
  <dcterms:modified xmlns:dcterms="http://purl.org/dc/terms/" xmlns:xsi="http://www.w3.org/2001/XMLSchema-instance" xsi:type="dcterms:W3CDTF">2026-10-05T10:23:20Z</dcterms:modified>
</cp:coreProperties>
</file>